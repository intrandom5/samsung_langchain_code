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임직원현황" sheetId="1" r:id="rId4"/>
    <sheet state="visible" name="프로젝트현황" sheetId="2" r:id="rId5"/>
    <sheet state="visible" name="장비_SW현황" sheetId="3" r:id="rId6"/>
    <sheet state="visible" name="교육훈련현황" sheetId="4" r:id="rId7"/>
  </sheets>
  <definedNames>
    <definedName hidden="1" localSheetId="0" name="_xlnm._FilterDatabase">'임직원현황'!$A$2:$K$27</definedName>
    <definedName hidden="1" localSheetId="1" name="_xlnm._FilterDatabase">'프로젝트현황'!$A$2:$J$17</definedName>
    <definedName hidden="1" localSheetId="3" name="_xlnm._FilterDatabase">'교육훈련현황'!$A$2:$J$27</definedName>
  </definedNames>
  <calcPr/>
  <extLst>
    <ext uri="GoogleSheetsCustomDataVersion2">
      <go:sheetsCustomData xmlns:go="http://customooxmlschemas.google.com/" r:id="rId8" roundtripDataChecksum="4xzM21vvn3nUo1R+ijEmmYRT75MGvLve+nX+N/28YTw="/>
    </ext>
  </extLst>
</workbook>
</file>

<file path=xl/sharedStrings.xml><?xml version="1.0" encoding="utf-8"?>
<sst xmlns="http://schemas.openxmlformats.org/spreadsheetml/2006/main" count="693" uniqueCount="393">
  <si>
    <t>(주)키키테크 임직원 현황 (2025년 1월 기준)</t>
  </si>
  <si>
    <t>사번</t>
  </si>
  <si>
    <t>성명</t>
  </si>
  <si>
    <t>부서</t>
  </si>
  <si>
    <t>팀</t>
  </si>
  <si>
    <t>직급</t>
  </si>
  <si>
    <t>입사일</t>
  </si>
  <si>
    <t>담당업무</t>
  </si>
  <si>
    <t>연락처(내선)</t>
  </si>
  <si>
    <t>이메일</t>
  </si>
  <si>
    <t>근무지</t>
  </si>
  <si>
    <t>비고</t>
  </si>
  <si>
    <t>TB-001</t>
  </si>
  <si>
    <t>김민준</t>
  </si>
  <si>
    <t>AI 연구개발본부</t>
  </si>
  <si>
    <t>LLM팀</t>
  </si>
  <si>
    <t>수석연구원</t>
  </si>
  <si>
    <t>2015-03-02</t>
  </si>
  <si>
    <t>LLM 파인튜닝 및 프롬프트 엔지니어링</t>
  </si>
  <si>
    <t>5101</t>
  </si>
  <si>
    <t>minjun.kim@kikitech.co.kr</t>
  </si>
  <si>
    <t>본사</t>
  </si>
  <si>
    <t>팀장</t>
  </si>
  <si>
    <t>TB-002</t>
  </si>
  <si>
    <t>이서연</t>
  </si>
  <si>
    <t>책임연구원</t>
  </si>
  <si>
    <t>2018-07-01</t>
  </si>
  <si>
    <t>RAG 파이프라인 설계 및 최적화</t>
  </si>
  <si>
    <t>5102</t>
  </si>
  <si>
    <t>seoyeon.lee@kikitech.co.kr</t>
  </si>
  <si>
    <t>TB-003</t>
  </si>
  <si>
    <t>박지호</t>
  </si>
  <si>
    <t>선임연구원</t>
  </si>
  <si>
    <t>2020-09-14</t>
  </si>
  <si>
    <t>벡터 DB 구축 및 임베딩 모델 평가</t>
  </si>
  <si>
    <t>5103</t>
  </si>
  <si>
    <t>jiho.park@kikitech.co.kr</t>
  </si>
  <si>
    <t>TB-004</t>
  </si>
  <si>
    <t>최유진</t>
  </si>
  <si>
    <t>연구원</t>
  </si>
  <si>
    <t>2023-02-27</t>
  </si>
  <si>
    <t>데이터 전처리 및 평가 데이터셋 구축</t>
  </si>
  <si>
    <t>5104</t>
  </si>
  <si>
    <t>yujin.choi@kikitech.co.kr</t>
  </si>
  <si>
    <t>TB-005</t>
  </si>
  <si>
    <t>정현우</t>
  </si>
  <si>
    <t>ML팀</t>
  </si>
  <si>
    <t>2016-05-09</t>
  </si>
  <si>
    <t>추천 시스템 및 분류 모델 개발</t>
  </si>
  <si>
    <t>5201</t>
  </si>
  <si>
    <t>hyunwoo.jung@kikitech.co.kr</t>
  </si>
  <si>
    <t>TB-006</t>
  </si>
  <si>
    <t>한소희</t>
  </si>
  <si>
    <t>2019-01-07</t>
  </si>
  <si>
    <t>시계열 예측 모델 연구</t>
  </si>
  <si>
    <t>5202</t>
  </si>
  <si>
    <t>sohee.han@kikitech.co.kr</t>
  </si>
  <si>
    <t>TB-007</t>
  </si>
  <si>
    <t>오지민</t>
  </si>
  <si>
    <t>2021-04-12</t>
  </si>
  <si>
    <t>컴퓨터 비전 모델 개발</t>
  </si>
  <si>
    <t>5203</t>
  </si>
  <si>
    <t>jimin.oh@kikitech.co.kr</t>
  </si>
  <si>
    <t>TB-008</t>
  </si>
  <si>
    <t>윤태양</t>
  </si>
  <si>
    <t>데이터팀</t>
  </si>
  <si>
    <t>2019-08-19</t>
  </si>
  <si>
    <t>데이터 파이프라인 설계 및 관리</t>
  </si>
  <si>
    <t>5301</t>
  </si>
  <si>
    <t>taeyang.yoon@kikitech.co.kr</t>
  </si>
  <si>
    <t>팀장 대행</t>
  </si>
  <si>
    <t>TB-009</t>
  </si>
  <si>
    <t>임채원</t>
  </si>
  <si>
    <t>2021-11-01</t>
  </si>
  <si>
    <t>데이터 품질 관리 및 레이블링</t>
  </si>
  <si>
    <t>5302</t>
  </si>
  <si>
    <t>chaewon.lim@kikitech.co.kr</t>
  </si>
  <si>
    <t>TB-010</t>
  </si>
  <si>
    <t>강민서</t>
  </si>
  <si>
    <t>2024-03-04</t>
  </si>
  <si>
    <t>크롤링 및 데이터 수집 자동화</t>
  </si>
  <si>
    <t>5303</t>
  </si>
  <si>
    <t>minseo.kang@kikitech.co.kr</t>
  </si>
  <si>
    <t>신입</t>
  </si>
  <si>
    <t>TB-011</t>
  </si>
  <si>
    <t>신동현</t>
  </si>
  <si>
    <t>플랫폼개발본부</t>
  </si>
  <si>
    <t>백엔드팀</t>
  </si>
  <si>
    <t>수석개발자</t>
  </si>
  <si>
    <t>2015-11-23</t>
  </si>
  <si>
    <t>API 서버 설계 및 마이크로서비스 아키텍처</t>
  </si>
  <si>
    <t>5401</t>
  </si>
  <si>
    <t>donghyun.shin@kikitech.co.kr</t>
  </si>
  <si>
    <t>TB-012</t>
  </si>
  <si>
    <t>배나연</t>
  </si>
  <si>
    <t>책임개발자</t>
  </si>
  <si>
    <t>2018-03-05</t>
  </si>
  <si>
    <t>FastAPI 기반 AI 서비스 백엔드</t>
  </si>
  <si>
    <t>5402</t>
  </si>
  <si>
    <t>nayeon.bae@kikitech.co.kr</t>
  </si>
  <si>
    <t>TB-013</t>
  </si>
  <si>
    <t>류성민</t>
  </si>
  <si>
    <t>선임개발자</t>
  </si>
  <si>
    <t>2020-06-22</t>
  </si>
  <si>
    <t>데이터베이스 설계 및 쿼리 최적화</t>
  </si>
  <si>
    <t>5403</t>
  </si>
  <si>
    <t>sungmin.ryu@kikitech.co.kr</t>
  </si>
  <si>
    <t>판교</t>
  </si>
  <si>
    <t>재택 병행</t>
  </si>
  <si>
    <t>TB-014</t>
  </si>
  <si>
    <t>전지은</t>
  </si>
  <si>
    <t>프론트엔드팀</t>
  </si>
  <si>
    <t>2019-04-15</t>
  </si>
  <si>
    <t>React 기반 AI 대시보드 개발</t>
  </si>
  <si>
    <t>5501</t>
  </si>
  <si>
    <t>jieun.jeon@kikitech.co.kr</t>
  </si>
  <si>
    <t>TB-015</t>
  </si>
  <si>
    <t>황준서</t>
  </si>
  <si>
    <t>2021-08-30</t>
  </si>
  <si>
    <t>Streamlit 기반 내부 도구 개발</t>
  </si>
  <si>
    <t>5502</t>
  </si>
  <si>
    <t>junser.hwang@kikitech.co.kr</t>
  </si>
  <si>
    <t>TB-016</t>
  </si>
  <si>
    <t>문하늘</t>
  </si>
  <si>
    <t>DevOps팀</t>
  </si>
  <si>
    <t>책임엔지니어</t>
  </si>
  <si>
    <t>2018-09-10</t>
  </si>
  <si>
    <t>Kubernetes 클러스터 운영 및 CI/CD</t>
  </si>
  <si>
    <t>5601</t>
  </si>
  <si>
    <t>haneul.moon@kikitech.co.kr</t>
  </si>
  <si>
    <t>TB-017</t>
  </si>
  <si>
    <t>홍세아</t>
  </si>
  <si>
    <t>선임엔지니어</t>
  </si>
  <si>
    <t>2021-01-18</t>
  </si>
  <si>
    <t>모니터링 시스템 구축 (Prometheus/Grafana)</t>
  </si>
  <si>
    <t>5602</t>
  </si>
  <si>
    <t>sea.hong@kikitech.co.kr</t>
  </si>
  <si>
    <t>TB-018</t>
  </si>
  <si>
    <t>조예린</t>
  </si>
  <si>
    <t>사업본부</t>
  </si>
  <si>
    <t>영업팀</t>
  </si>
  <si>
    <t>책임</t>
  </si>
  <si>
    <t>2017-07-03</t>
  </si>
  <si>
    <t>엔터프라이즈 고객 영업 및 계약</t>
  </si>
  <si>
    <t>5701</t>
  </si>
  <si>
    <t>yerins.jo@kikitech.co.kr</t>
  </si>
  <si>
    <t>TB-019</t>
  </si>
  <si>
    <t>나현진</t>
  </si>
  <si>
    <t>선임</t>
  </si>
  <si>
    <t>2020-02-10</t>
  </si>
  <si>
    <t>중견기업 솔루션 제안 및 영업</t>
  </si>
  <si>
    <t>5702</t>
  </si>
  <si>
    <t>hyunjin.na@kikitech.co.kr</t>
  </si>
  <si>
    <t>TB-020</t>
  </si>
  <si>
    <t>서준혁</t>
  </si>
  <si>
    <t>마케팅팀</t>
  </si>
  <si>
    <t>2019-06-24</t>
  </si>
  <si>
    <t>B2B 콘텐츠 마케팅 및 SEO</t>
  </si>
  <si>
    <t>5801</t>
  </si>
  <si>
    <t>junhyuk.seo@kikitech.co.kr</t>
  </si>
  <si>
    <t>TB-021</t>
  </si>
  <si>
    <t>권아현</t>
  </si>
  <si>
    <t>2022-05-16</t>
  </si>
  <si>
    <t>SNS 및 퍼포먼스 마케팅</t>
  </si>
  <si>
    <t>5802</t>
  </si>
  <si>
    <t>ahyeon.kwon@kikitech.co.kr</t>
  </si>
  <si>
    <t>TB-022</t>
  </si>
  <si>
    <t>손민아</t>
  </si>
  <si>
    <t>경영지원본부</t>
  </si>
  <si>
    <t>인사팀</t>
  </si>
  <si>
    <t>2016-10-31</t>
  </si>
  <si>
    <t>채용, 온보딩, 복리후생 관리</t>
  </si>
  <si>
    <t>5901</t>
  </si>
  <si>
    <t>mina.son@kikitech.co.kr</t>
  </si>
  <si>
    <t>TB-023</t>
  </si>
  <si>
    <t>안지현</t>
  </si>
  <si>
    <t>2021-03-08</t>
  </si>
  <si>
    <t>급여 및 평가 관리</t>
  </si>
  <si>
    <t>5902</t>
  </si>
  <si>
    <t>jihyun.an@kikitech.co.kr</t>
  </si>
  <si>
    <t>TB-024</t>
  </si>
  <si>
    <t>구태준</t>
  </si>
  <si>
    <t>재무팀</t>
  </si>
  <si>
    <t>2017-04-03</t>
  </si>
  <si>
    <t>재무 계획 및 예산 관리</t>
  </si>
  <si>
    <t>6001</t>
  </si>
  <si>
    <t>taejun.gu@kikitech.co.kr</t>
  </si>
  <si>
    <t>TB-025</t>
  </si>
  <si>
    <t>마지원</t>
  </si>
  <si>
    <t>법무팀</t>
  </si>
  <si>
    <t>2018-12-17</t>
  </si>
  <si>
    <t>계약서 검토 및 법적 리스크 관리</t>
  </si>
  <si>
    <t>6101</t>
  </si>
  <si>
    <t>jiwon.ma@kikitech.co.kr</t>
  </si>
  <si>
    <t>(주)키키테크 프로젝트 현황 (2025년 상반기)</t>
  </si>
  <si>
    <t>프로젝트ID</t>
  </si>
  <si>
    <t>프로젝트명</t>
  </si>
  <si>
    <t>고객사</t>
  </si>
  <si>
    <t>담당팀</t>
  </si>
  <si>
    <t>PM</t>
  </si>
  <si>
    <t>시작일</t>
  </si>
  <si>
    <t>종료 예정일</t>
  </si>
  <si>
    <t>상태</t>
  </si>
  <si>
    <t>진행률(%)</t>
  </si>
  <si>
    <t>PRJ-2025-001</t>
  </si>
  <si>
    <t>기업 AI 챗봇 플랫폼 구축</t>
  </si>
  <si>
    <t>(주)한국금융그룹</t>
  </si>
  <si>
    <t>2025-01-06</t>
  </si>
  <si>
    <t>2025-06-30</t>
  </si>
  <si>
    <t>진행중</t>
  </si>
  <si>
    <t>RAG+에이전트 통합</t>
  </si>
  <si>
    <t>PRJ-2025-002</t>
  </si>
  <si>
    <t>제조 공정 불량 예측 모델</t>
  </si>
  <si>
    <t>현대정밀(주)</t>
  </si>
  <si>
    <t>2025-02-03</t>
  </si>
  <si>
    <t>2025-07-31</t>
  </si>
  <si>
    <t>CCTV 기반 비전 AI</t>
  </si>
  <si>
    <t>PRJ-2025-003</t>
  </si>
  <si>
    <t>HR 데이터 분석 대시보드</t>
  </si>
  <si>
    <t>(주)스타코리아</t>
  </si>
  <si>
    <t>2025-01-13</t>
  </si>
  <si>
    <t>2025-04-30</t>
  </si>
  <si>
    <t>완료</t>
  </si>
  <si>
    <t>납품 완료</t>
  </si>
  <si>
    <t>PRJ-2025-004</t>
  </si>
  <si>
    <t>AI 문서 자동 분류 시스템</t>
  </si>
  <si>
    <t>법무법인 대한</t>
  </si>
  <si>
    <t>2025-03-03</t>
  </si>
  <si>
    <t>2025-08-29</t>
  </si>
  <si>
    <t>OCR+분류 모델</t>
  </si>
  <si>
    <t>PRJ-2025-005</t>
  </si>
  <si>
    <t>실시간 재고 예측 시스템</t>
  </si>
  <si>
    <t>(주)퍼스트리테일</t>
  </si>
  <si>
    <t>2024-11-04</t>
  </si>
  <si>
    <t>2025-03-31</t>
  </si>
  <si>
    <t>유지보수 단계</t>
  </si>
  <si>
    <t>PRJ-2025-006</t>
  </si>
  <si>
    <t>고객 이탈 예측 모델</t>
  </si>
  <si>
    <t>KT서비스(주)</t>
  </si>
  <si>
    <t>2025-03-10</t>
  </si>
  <si>
    <t>2025-09-30</t>
  </si>
  <si>
    <t>데이터 수집 중</t>
  </si>
  <si>
    <t>PRJ-2025-007</t>
  </si>
  <si>
    <t>내부 지식관리 시스템</t>
  </si>
  <si>
    <t>자사 내부</t>
  </si>
  <si>
    <t>LLM팀+DevOps팀</t>
  </si>
  <si>
    <t>2025-02-17</t>
  </si>
  <si>
    <t>2025-05-30</t>
  </si>
  <si>
    <t>지연</t>
  </si>
  <si>
    <t>인프라 이슈로 2주 지연</t>
  </si>
  <si>
    <t>PRJ-2025-008</t>
  </si>
  <si>
    <t>의료 영상 진단 보조 AI</t>
  </si>
  <si>
    <t>서울의료원</t>
  </si>
  <si>
    <t>2025-04-01</t>
  </si>
  <si>
    <t>2025-12-31</t>
  </si>
  <si>
    <t>IRB 승인 완료</t>
  </si>
  <si>
    <t>PRJ-2025-009</t>
  </si>
  <si>
    <t>물류 경로 최적화 엔진</t>
  </si>
  <si>
    <t>(주)스피드로지스</t>
  </si>
  <si>
    <t>2025-01-20</t>
  </si>
  <si>
    <t>알고리즘 검증 중</t>
  </si>
  <si>
    <t>PRJ-2025-010</t>
  </si>
  <si>
    <t>AI 기반 채용 스크리닝</t>
  </si>
  <si>
    <t>(주)탤런트허브</t>
  </si>
  <si>
    <t>2025-05-01</t>
  </si>
  <si>
    <t>2025-10-31</t>
  </si>
  <si>
    <t>대기중</t>
  </si>
  <si>
    <t>계약 체결 완료, 착수 예정</t>
  </si>
  <si>
    <t>PRJ-2025-011</t>
  </si>
  <si>
    <t>스마트팩토리 이상감지</t>
  </si>
  <si>
    <t>(주)고려테크</t>
  </si>
  <si>
    <t>ML팀+데이터팀</t>
  </si>
  <si>
    <t>2024-10-14</t>
  </si>
  <si>
    <t>보고서 제출 완료</t>
  </si>
  <si>
    <t>PRJ-2025-012</t>
  </si>
  <si>
    <t>AI 콘텐츠 생성 플랫폼</t>
  </si>
  <si>
    <t>(주)크리에이티브원</t>
  </si>
  <si>
    <t>2025-03-17</t>
  </si>
  <si>
    <t>프롬프트 설계 단계</t>
  </si>
  <si>
    <t>PRJ-2025-013</t>
  </si>
  <si>
    <t>금융 사기 탐지 시스템</t>
  </si>
  <si>
    <t>(주)신한데이터</t>
  </si>
  <si>
    <t>2025-02-10</t>
  </si>
  <si>
    <t>2025-08-31</t>
  </si>
  <si>
    <t>모델 학습 중</t>
  </si>
  <si>
    <t>PRJ-2025-014</t>
  </si>
  <si>
    <t>AI 법률 문서 요약</t>
  </si>
  <si>
    <t>법무법인 정도</t>
  </si>
  <si>
    <t>2025-04-14</t>
  </si>
  <si>
    <t>2025-11-28</t>
  </si>
  <si>
    <t>요구사항 분석 중</t>
  </si>
  <si>
    <t>PRJ-2025-015</t>
  </si>
  <si>
    <t>에너지 소비 예측 모델</t>
  </si>
  <si>
    <t>(주)한국에너지공사</t>
  </si>
  <si>
    <t>데이터팀+ML팀</t>
  </si>
  <si>
    <t>2026-02-27</t>
  </si>
  <si>
    <t>착수 보고회 6월 예정</t>
  </si>
  <si>
    <t>(주)키키테크 IT 장비 및 SW 라이선스 현황</t>
  </si>
  <si>
    <t>자산코드</t>
  </si>
  <si>
    <t>분류</t>
  </si>
  <si>
    <t>자산명</t>
  </si>
  <si>
    <t>수량</t>
  </si>
  <si>
    <t>단가(원)</t>
  </si>
  <si>
    <t>총액(원)</t>
  </si>
  <si>
    <t>담당부서</t>
  </si>
  <si>
    <t>갱신일</t>
  </si>
  <si>
    <t>HW-001</t>
  </si>
  <si>
    <t>노트북</t>
  </si>
  <si>
    <t>Apple MacBook Pro 14 M3</t>
  </si>
  <si>
    <t>전 부서</t>
  </si>
  <si>
    <t>2024-10-01</t>
  </si>
  <si>
    <t>HW-002</t>
  </si>
  <si>
    <t>LG 그램 16 (2024)</t>
  </si>
  <si>
    <t>경영지원/사업</t>
  </si>
  <si>
    <t>2024-03-15</t>
  </si>
  <si>
    <t>HW-003</t>
  </si>
  <si>
    <t>모니터</t>
  </si>
  <si>
    <t>LG 27인치 4K UltraFine</t>
  </si>
  <si>
    <t>2024-01-10</t>
  </si>
  <si>
    <t>HW-004</t>
  </si>
  <si>
    <t>서버</t>
  </si>
  <si>
    <t>NVIDIA DGX A100 (GPU 서버)</t>
  </si>
  <si>
    <t>AI연구개발</t>
  </si>
  <si>
    <t>2023-06-01</t>
  </si>
  <si>
    <t>LLM 학습용</t>
  </si>
  <si>
    <t>HW-005</t>
  </si>
  <si>
    <t>Dell PowerEdge R750 (CPU 서버)</t>
  </si>
  <si>
    <t>플랫폼개발</t>
  </si>
  <si>
    <t>2023-09-15</t>
  </si>
  <si>
    <t>HW-006</t>
  </si>
  <si>
    <t>네트워크</t>
  </si>
  <si>
    <t>시스코 스위치 (48포트)</t>
  </si>
  <si>
    <t>시설관리</t>
  </si>
  <si>
    <t>2022-12-01</t>
  </si>
  <si>
    <t>SW-001</t>
  </si>
  <si>
    <t>개발툴</t>
  </si>
  <si>
    <t>JetBrains All Products Pack</t>
  </si>
  <si>
    <t>2025-01-01</t>
  </si>
  <si>
    <t>연간 라이선스</t>
  </si>
  <si>
    <t>SW-002</t>
  </si>
  <si>
    <t>AI플랫폼</t>
  </si>
  <si>
    <t>OpenAI GPT-4o API</t>
  </si>
  <si>
    <t>월정액 x 12</t>
  </si>
  <si>
    <t>SW-003</t>
  </si>
  <si>
    <t>벡터DB</t>
  </si>
  <si>
    <t>Pinecone Enterprise</t>
  </si>
  <si>
    <t>LLM팀+데이터팀</t>
  </si>
  <si>
    <t>2025-03-01</t>
  </si>
  <si>
    <t>연간</t>
  </si>
  <si>
    <t>SW-004</t>
  </si>
  <si>
    <t>협업툴</t>
  </si>
  <si>
    <t>Notion Business</t>
  </si>
  <si>
    <t>인당 연간</t>
  </si>
  <si>
    <t>SW-005</t>
  </si>
  <si>
    <t>Slack Pro</t>
  </si>
  <si>
    <t>SW-006</t>
  </si>
  <si>
    <t>모니터링</t>
  </si>
  <si>
    <t>Datadog</t>
  </si>
  <si>
    <t>2025-02-01</t>
  </si>
  <si>
    <t>SW-007</t>
  </si>
  <si>
    <t>클라우드</t>
  </si>
  <si>
    <t>AWS Enterprise Support</t>
  </si>
  <si>
    <t>연간 계약</t>
  </si>
  <si>
    <t>SW-008</t>
  </si>
  <si>
    <t>보안</t>
  </si>
  <si>
    <t>CrowdStrike Falcon</t>
  </si>
  <si>
    <t>IT보안팀</t>
  </si>
  <si>
    <t>SW-009</t>
  </si>
  <si>
    <t>디자인</t>
  </si>
  <si>
    <t>Figma Organization</t>
  </si>
  <si>
    <t>SW-010</t>
  </si>
  <si>
    <t>데이터분석</t>
  </si>
  <si>
    <t>Tableau Creator</t>
  </si>
  <si>
    <t>데이터팀+사업</t>
  </si>
  <si>
    <t>2024-12-01</t>
  </si>
  <si>
    <t>합 계</t>
  </si>
  <si>
    <t>(주)키키테크 교육훈련 이수 현황 (2025년)</t>
  </si>
  <si>
    <t>필수교육
(성희롱예방)</t>
  </si>
  <si>
    <t>필수교육
(개인정보보호)</t>
  </si>
  <si>
    <t>필수교육
(정보보안)</t>
  </si>
  <si>
    <t>직무교육
이수시간</t>
  </si>
  <si>
    <t>외부교육
지원건수</t>
  </si>
  <si>
    <t>자격증
취득</t>
  </si>
  <si>
    <t>AWS Solutions Architect</t>
  </si>
  <si>
    <t>미완료</t>
  </si>
  <si>
    <t>신입, 2차 수강 예정</t>
  </si>
  <si>
    <t>Google ML Engineer</t>
  </si>
  <si>
    <t>신입, 이수 예정</t>
  </si>
  <si>
    <t>AWS DevOps Engineer</t>
  </si>
  <si>
    <t>재택 근무</t>
  </si>
  <si>
    <t>CKA (쿠버네티스)</t>
  </si>
  <si>
    <t>Google Analytics</t>
  </si>
  <si>
    <t>변호사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</si>
</sst>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A237E"/>
      <name val="Arial"/>
    </font>
    <font/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1A237E"/>
      <name val="Arial"/>
    </font>
    <font>
      <b/>
      <sz val="10.0"/>
      <color rgb="FF2E7D32"/>
      <name val="Arial"/>
    </font>
    <font>
      <b/>
      <sz val="10.0"/>
      <color rgb="FFC62828"/>
      <name val="Arial"/>
    </font>
    <font>
      <sz val="11.0"/>
      <color theme="1"/>
      <name val="Calibri"/>
    </font>
    <font>
      <sz val="10.0"/>
      <color rgb="FF1B5E20"/>
      <name val="Arial"/>
    </font>
    <font>
      <sz val="10.0"/>
      <color rgb="FFC62828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1A237E"/>
        <bgColor rgb="FF1A237E"/>
      </patternFill>
    </fill>
    <fill>
      <patternFill patternType="solid">
        <fgColor rgb="FFF3F6FD"/>
        <bgColor rgb="FFF3F6FD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0" fontId="4" numFmtId="3" xfId="0" applyAlignment="1" applyBorder="1" applyFont="1" applyNumberFormat="1">
      <alignment horizontal="right" shrinkToFit="0" vertical="center" wrapText="1"/>
    </xf>
    <xf borderId="4" fillId="4" fontId="4" numFmtId="3" xfId="0" applyAlignment="1" applyBorder="1" applyFont="1" applyNumberFormat="1">
      <alignment horizontal="right" shrinkToFit="0" vertical="center" wrapText="1"/>
    </xf>
    <xf borderId="5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3" fontId="3" numFmtId="3" xfId="0" applyAlignment="1" applyBorder="1" applyFont="1" applyNumberFormat="1">
      <alignment horizontal="right" vertical="center"/>
    </xf>
    <xf borderId="4" fillId="0" fontId="8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6.0"/>
    <col customWidth="1" min="5" max="5" width="10.0"/>
    <col customWidth="1" min="6" max="6" width="13.0"/>
    <col customWidth="1" min="7" max="7" width="22.0"/>
    <col customWidth="1" min="8" max="8" width="14.0"/>
    <col customWidth="1" min="9" max="9" width="26.0"/>
    <col customWidth="1" min="10" max="10" width="10.0"/>
    <col customWidth="1" min="11" max="11" width="16.0"/>
    <col customWidth="1" min="1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 t="s">
        <v>12</v>
      </c>
      <c r="B3" s="6" t="s">
        <v>13</v>
      </c>
      <c r="C3" s="6" t="s">
        <v>14</v>
      </c>
      <c r="D3" s="6" t="s">
        <v>15</v>
      </c>
      <c r="E3" s="5" t="s">
        <v>16</v>
      </c>
      <c r="F3" s="5" t="s">
        <v>17</v>
      </c>
      <c r="G3" s="6" t="s">
        <v>18</v>
      </c>
      <c r="H3" s="5" t="s">
        <v>19</v>
      </c>
      <c r="I3" s="7" t="s">
        <v>20</v>
      </c>
      <c r="J3" s="5" t="s">
        <v>21</v>
      </c>
      <c r="K3" s="6" t="s">
        <v>22</v>
      </c>
    </row>
    <row r="4">
      <c r="A4" s="8" t="s">
        <v>23</v>
      </c>
      <c r="B4" s="9" t="s">
        <v>24</v>
      </c>
      <c r="C4" s="9" t="s">
        <v>14</v>
      </c>
      <c r="D4" s="9" t="s">
        <v>15</v>
      </c>
      <c r="E4" s="8" t="s">
        <v>25</v>
      </c>
      <c r="F4" s="8" t="s">
        <v>26</v>
      </c>
      <c r="G4" s="9" t="s">
        <v>27</v>
      </c>
      <c r="H4" s="8" t="s">
        <v>28</v>
      </c>
      <c r="I4" s="10" t="s">
        <v>29</v>
      </c>
      <c r="J4" s="8" t="s">
        <v>21</v>
      </c>
      <c r="K4" s="9"/>
    </row>
    <row r="5">
      <c r="A5" s="5" t="s">
        <v>30</v>
      </c>
      <c r="B5" s="6" t="s">
        <v>31</v>
      </c>
      <c r="C5" s="6" t="s">
        <v>14</v>
      </c>
      <c r="D5" s="6" t="s">
        <v>15</v>
      </c>
      <c r="E5" s="5" t="s">
        <v>32</v>
      </c>
      <c r="F5" s="5" t="s">
        <v>33</v>
      </c>
      <c r="G5" s="6" t="s">
        <v>34</v>
      </c>
      <c r="H5" s="5" t="s">
        <v>35</v>
      </c>
      <c r="I5" s="7" t="s">
        <v>36</v>
      </c>
      <c r="J5" s="5" t="s">
        <v>21</v>
      </c>
      <c r="K5" s="6"/>
    </row>
    <row r="6">
      <c r="A6" s="8" t="s">
        <v>37</v>
      </c>
      <c r="B6" s="9" t="s">
        <v>38</v>
      </c>
      <c r="C6" s="9" t="s">
        <v>14</v>
      </c>
      <c r="D6" s="9" t="s">
        <v>15</v>
      </c>
      <c r="E6" s="8" t="s">
        <v>39</v>
      </c>
      <c r="F6" s="8" t="s">
        <v>40</v>
      </c>
      <c r="G6" s="9" t="s">
        <v>41</v>
      </c>
      <c r="H6" s="8" t="s">
        <v>42</v>
      </c>
      <c r="I6" s="10" t="s">
        <v>43</v>
      </c>
      <c r="J6" s="8" t="s">
        <v>21</v>
      </c>
      <c r="K6" s="9"/>
    </row>
    <row r="7">
      <c r="A7" s="5" t="s">
        <v>44</v>
      </c>
      <c r="B7" s="6" t="s">
        <v>45</v>
      </c>
      <c r="C7" s="6" t="s">
        <v>14</v>
      </c>
      <c r="D7" s="6" t="s">
        <v>46</v>
      </c>
      <c r="E7" s="5" t="s">
        <v>16</v>
      </c>
      <c r="F7" s="5" t="s">
        <v>47</v>
      </c>
      <c r="G7" s="6" t="s">
        <v>48</v>
      </c>
      <c r="H7" s="5" t="s">
        <v>49</v>
      </c>
      <c r="I7" s="7" t="s">
        <v>50</v>
      </c>
      <c r="J7" s="5" t="s">
        <v>21</v>
      </c>
      <c r="K7" s="6" t="s">
        <v>22</v>
      </c>
    </row>
    <row r="8">
      <c r="A8" s="8" t="s">
        <v>51</v>
      </c>
      <c r="B8" s="9" t="s">
        <v>52</v>
      </c>
      <c r="C8" s="9" t="s">
        <v>14</v>
      </c>
      <c r="D8" s="9" t="s">
        <v>46</v>
      </c>
      <c r="E8" s="8" t="s">
        <v>25</v>
      </c>
      <c r="F8" s="8" t="s">
        <v>53</v>
      </c>
      <c r="G8" s="9" t="s">
        <v>54</v>
      </c>
      <c r="H8" s="8" t="s">
        <v>55</v>
      </c>
      <c r="I8" s="10" t="s">
        <v>56</v>
      </c>
      <c r="J8" s="8" t="s">
        <v>21</v>
      </c>
      <c r="K8" s="9"/>
    </row>
    <row r="9">
      <c r="A9" s="5" t="s">
        <v>57</v>
      </c>
      <c r="B9" s="6" t="s">
        <v>58</v>
      </c>
      <c r="C9" s="6" t="s">
        <v>14</v>
      </c>
      <c r="D9" s="6" t="s">
        <v>46</v>
      </c>
      <c r="E9" s="5" t="s">
        <v>32</v>
      </c>
      <c r="F9" s="5" t="s">
        <v>59</v>
      </c>
      <c r="G9" s="6" t="s">
        <v>60</v>
      </c>
      <c r="H9" s="5" t="s">
        <v>61</v>
      </c>
      <c r="I9" s="7" t="s">
        <v>62</v>
      </c>
      <c r="J9" s="5" t="s">
        <v>21</v>
      </c>
      <c r="K9" s="6"/>
    </row>
    <row r="10">
      <c r="A10" s="8" t="s">
        <v>63</v>
      </c>
      <c r="B10" s="9" t="s">
        <v>64</v>
      </c>
      <c r="C10" s="9" t="s">
        <v>14</v>
      </c>
      <c r="D10" s="9" t="s">
        <v>65</v>
      </c>
      <c r="E10" s="8" t="s">
        <v>25</v>
      </c>
      <c r="F10" s="8" t="s">
        <v>66</v>
      </c>
      <c r="G10" s="9" t="s">
        <v>67</v>
      </c>
      <c r="H10" s="8" t="s">
        <v>68</v>
      </c>
      <c r="I10" s="10" t="s">
        <v>69</v>
      </c>
      <c r="J10" s="8" t="s">
        <v>21</v>
      </c>
      <c r="K10" s="9" t="s">
        <v>70</v>
      </c>
    </row>
    <row r="11">
      <c r="A11" s="5" t="s">
        <v>71</v>
      </c>
      <c r="B11" s="6" t="s">
        <v>72</v>
      </c>
      <c r="C11" s="6" t="s">
        <v>14</v>
      </c>
      <c r="D11" s="6" t="s">
        <v>65</v>
      </c>
      <c r="E11" s="5" t="s">
        <v>32</v>
      </c>
      <c r="F11" s="5" t="s">
        <v>73</v>
      </c>
      <c r="G11" s="6" t="s">
        <v>74</v>
      </c>
      <c r="H11" s="5" t="s">
        <v>75</v>
      </c>
      <c r="I11" s="7" t="s">
        <v>76</v>
      </c>
      <c r="J11" s="5" t="s">
        <v>21</v>
      </c>
      <c r="K11" s="6"/>
    </row>
    <row r="12">
      <c r="A12" s="8" t="s">
        <v>77</v>
      </c>
      <c r="B12" s="9" t="s">
        <v>78</v>
      </c>
      <c r="C12" s="9" t="s">
        <v>14</v>
      </c>
      <c r="D12" s="9" t="s">
        <v>65</v>
      </c>
      <c r="E12" s="8" t="s">
        <v>39</v>
      </c>
      <c r="F12" s="8" t="s">
        <v>79</v>
      </c>
      <c r="G12" s="9" t="s">
        <v>80</v>
      </c>
      <c r="H12" s="8" t="s">
        <v>81</v>
      </c>
      <c r="I12" s="10" t="s">
        <v>82</v>
      </c>
      <c r="J12" s="8" t="s">
        <v>21</v>
      </c>
      <c r="K12" s="9" t="s">
        <v>83</v>
      </c>
    </row>
    <row r="13">
      <c r="A13" s="5" t="s">
        <v>84</v>
      </c>
      <c r="B13" s="6" t="s">
        <v>85</v>
      </c>
      <c r="C13" s="6" t="s">
        <v>86</v>
      </c>
      <c r="D13" s="6" t="s">
        <v>87</v>
      </c>
      <c r="E13" s="5" t="s">
        <v>88</v>
      </c>
      <c r="F13" s="5" t="s">
        <v>89</v>
      </c>
      <c r="G13" s="6" t="s">
        <v>90</v>
      </c>
      <c r="H13" s="5" t="s">
        <v>91</v>
      </c>
      <c r="I13" s="7" t="s">
        <v>92</v>
      </c>
      <c r="J13" s="5" t="s">
        <v>21</v>
      </c>
      <c r="K13" s="6" t="s">
        <v>22</v>
      </c>
    </row>
    <row r="14">
      <c r="A14" s="8" t="s">
        <v>93</v>
      </c>
      <c r="B14" s="9" t="s">
        <v>94</v>
      </c>
      <c r="C14" s="9" t="s">
        <v>86</v>
      </c>
      <c r="D14" s="9" t="s">
        <v>87</v>
      </c>
      <c r="E14" s="8" t="s">
        <v>95</v>
      </c>
      <c r="F14" s="8" t="s">
        <v>96</v>
      </c>
      <c r="G14" s="9" t="s">
        <v>97</v>
      </c>
      <c r="H14" s="8" t="s">
        <v>98</v>
      </c>
      <c r="I14" s="10" t="s">
        <v>99</v>
      </c>
      <c r="J14" s="8" t="s">
        <v>21</v>
      </c>
      <c r="K14" s="9"/>
    </row>
    <row r="15">
      <c r="A15" s="5" t="s">
        <v>100</v>
      </c>
      <c r="B15" s="6" t="s">
        <v>101</v>
      </c>
      <c r="C15" s="6" t="s">
        <v>86</v>
      </c>
      <c r="D15" s="6" t="s">
        <v>87</v>
      </c>
      <c r="E15" s="5" t="s">
        <v>102</v>
      </c>
      <c r="F15" s="5" t="s">
        <v>103</v>
      </c>
      <c r="G15" s="6" t="s">
        <v>104</v>
      </c>
      <c r="H15" s="5" t="s">
        <v>105</v>
      </c>
      <c r="I15" s="7" t="s">
        <v>106</v>
      </c>
      <c r="J15" s="5" t="s">
        <v>107</v>
      </c>
      <c r="K15" s="6" t="s">
        <v>108</v>
      </c>
    </row>
    <row r="16">
      <c r="A16" s="8" t="s">
        <v>109</v>
      </c>
      <c r="B16" s="9" t="s">
        <v>110</v>
      </c>
      <c r="C16" s="9" t="s">
        <v>86</v>
      </c>
      <c r="D16" s="9" t="s">
        <v>111</v>
      </c>
      <c r="E16" s="8" t="s">
        <v>95</v>
      </c>
      <c r="F16" s="8" t="s">
        <v>112</v>
      </c>
      <c r="G16" s="9" t="s">
        <v>113</v>
      </c>
      <c r="H16" s="8" t="s">
        <v>114</v>
      </c>
      <c r="I16" s="10" t="s">
        <v>115</v>
      </c>
      <c r="J16" s="8" t="s">
        <v>21</v>
      </c>
      <c r="K16" s="9" t="s">
        <v>22</v>
      </c>
    </row>
    <row r="17">
      <c r="A17" s="5" t="s">
        <v>116</v>
      </c>
      <c r="B17" s="6" t="s">
        <v>117</v>
      </c>
      <c r="C17" s="6" t="s">
        <v>86</v>
      </c>
      <c r="D17" s="6" t="s">
        <v>111</v>
      </c>
      <c r="E17" s="5" t="s">
        <v>102</v>
      </c>
      <c r="F17" s="5" t="s">
        <v>118</v>
      </c>
      <c r="G17" s="6" t="s">
        <v>119</v>
      </c>
      <c r="H17" s="5" t="s">
        <v>120</v>
      </c>
      <c r="I17" s="7" t="s">
        <v>121</v>
      </c>
      <c r="J17" s="5" t="s">
        <v>21</v>
      </c>
      <c r="K17" s="6"/>
    </row>
    <row r="18">
      <c r="A18" s="8" t="s">
        <v>122</v>
      </c>
      <c r="B18" s="9" t="s">
        <v>123</v>
      </c>
      <c r="C18" s="9" t="s">
        <v>86</v>
      </c>
      <c r="D18" s="9" t="s">
        <v>124</v>
      </c>
      <c r="E18" s="8" t="s">
        <v>125</v>
      </c>
      <c r="F18" s="8" t="s">
        <v>126</v>
      </c>
      <c r="G18" s="9" t="s">
        <v>127</v>
      </c>
      <c r="H18" s="8" t="s">
        <v>128</v>
      </c>
      <c r="I18" s="10" t="s">
        <v>129</v>
      </c>
      <c r="J18" s="8" t="s">
        <v>21</v>
      </c>
      <c r="K18" s="9" t="s">
        <v>22</v>
      </c>
    </row>
    <row r="19">
      <c r="A19" s="5" t="s">
        <v>130</v>
      </c>
      <c r="B19" s="6" t="s">
        <v>131</v>
      </c>
      <c r="C19" s="6" t="s">
        <v>86</v>
      </c>
      <c r="D19" s="6" t="s">
        <v>124</v>
      </c>
      <c r="E19" s="5" t="s">
        <v>132</v>
      </c>
      <c r="F19" s="5" t="s">
        <v>133</v>
      </c>
      <c r="G19" s="6" t="s">
        <v>134</v>
      </c>
      <c r="H19" s="5" t="s">
        <v>135</v>
      </c>
      <c r="I19" s="7" t="s">
        <v>136</v>
      </c>
      <c r="J19" s="5" t="s">
        <v>21</v>
      </c>
      <c r="K19" s="6"/>
    </row>
    <row r="20">
      <c r="A20" s="8" t="s">
        <v>137</v>
      </c>
      <c r="B20" s="9" t="s">
        <v>138</v>
      </c>
      <c r="C20" s="9" t="s">
        <v>139</v>
      </c>
      <c r="D20" s="9" t="s">
        <v>140</v>
      </c>
      <c r="E20" s="8" t="s">
        <v>141</v>
      </c>
      <c r="F20" s="8" t="s">
        <v>142</v>
      </c>
      <c r="G20" s="9" t="s">
        <v>143</v>
      </c>
      <c r="H20" s="8" t="s">
        <v>144</v>
      </c>
      <c r="I20" s="10" t="s">
        <v>145</v>
      </c>
      <c r="J20" s="8" t="s">
        <v>21</v>
      </c>
      <c r="K20" s="9" t="s">
        <v>22</v>
      </c>
    </row>
    <row r="21" ht="15.75" customHeight="1">
      <c r="A21" s="5" t="s">
        <v>146</v>
      </c>
      <c r="B21" s="6" t="s">
        <v>147</v>
      </c>
      <c r="C21" s="6" t="s">
        <v>139</v>
      </c>
      <c r="D21" s="6" t="s">
        <v>140</v>
      </c>
      <c r="E21" s="5" t="s">
        <v>148</v>
      </c>
      <c r="F21" s="5" t="s">
        <v>149</v>
      </c>
      <c r="G21" s="6" t="s">
        <v>150</v>
      </c>
      <c r="H21" s="5" t="s">
        <v>151</v>
      </c>
      <c r="I21" s="7" t="s">
        <v>152</v>
      </c>
      <c r="J21" s="5" t="s">
        <v>21</v>
      </c>
      <c r="K21" s="6"/>
    </row>
    <row r="22" ht="15.75" customHeight="1">
      <c r="A22" s="8" t="s">
        <v>153</v>
      </c>
      <c r="B22" s="9" t="s">
        <v>154</v>
      </c>
      <c r="C22" s="9" t="s">
        <v>139</v>
      </c>
      <c r="D22" s="9" t="s">
        <v>155</v>
      </c>
      <c r="E22" s="8" t="s">
        <v>141</v>
      </c>
      <c r="F22" s="8" t="s">
        <v>156</v>
      </c>
      <c r="G22" s="9" t="s">
        <v>157</v>
      </c>
      <c r="H22" s="8" t="s">
        <v>158</v>
      </c>
      <c r="I22" s="10" t="s">
        <v>159</v>
      </c>
      <c r="J22" s="8" t="s">
        <v>21</v>
      </c>
      <c r="K22" s="9" t="s">
        <v>22</v>
      </c>
    </row>
    <row r="23" ht="15.75" customHeight="1">
      <c r="A23" s="5" t="s">
        <v>160</v>
      </c>
      <c r="B23" s="6" t="s">
        <v>161</v>
      </c>
      <c r="C23" s="6" t="s">
        <v>139</v>
      </c>
      <c r="D23" s="6" t="s">
        <v>155</v>
      </c>
      <c r="E23" s="5" t="s">
        <v>148</v>
      </c>
      <c r="F23" s="5" t="s">
        <v>162</v>
      </c>
      <c r="G23" s="6" t="s">
        <v>163</v>
      </c>
      <c r="H23" s="5" t="s">
        <v>164</v>
      </c>
      <c r="I23" s="7" t="s">
        <v>165</v>
      </c>
      <c r="J23" s="5" t="s">
        <v>21</v>
      </c>
      <c r="K23" s="6"/>
    </row>
    <row r="24" ht="15.75" customHeight="1">
      <c r="A24" s="8" t="s">
        <v>166</v>
      </c>
      <c r="B24" s="9" t="s">
        <v>167</v>
      </c>
      <c r="C24" s="9" t="s">
        <v>168</v>
      </c>
      <c r="D24" s="9" t="s">
        <v>169</v>
      </c>
      <c r="E24" s="8" t="s">
        <v>141</v>
      </c>
      <c r="F24" s="8" t="s">
        <v>170</v>
      </c>
      <c r="G24" s="9" t="s">
        <v>171</v>
      </c>
      <c r="H24" s="8" t="s">
        <v>172</v>
      </c>
      <c r="I24" s="10" t="s">
        <v>173</v>
      </c>
      <c r="J24" s="8" t="s">
        <v>21</v>
      </c>
      <c r="K24" s="9" t="s">
        <v>22</v>
      </c>
    </row>
    <row r="25" ht="15.75" customHeight="1">
      <c r="A25" s="5" t="s">
        <v>174</v>
      </c>
      <c r="B25" s="6" t="s">
        <v>175</v>
      </c>
      <c r="C25" s="6" t="s">
        <v>168</v>
      </c>
      <c r="D25" s="6" t="s">
        <v>169</v>
      </c>
      <c r="E25" s="5" t="s">
        <v>148</v>
      </c>
      <c r="F25" s="5" t="s">
        <v>176</v>
      </c>
      <c r="G25" s="6" t="s">
        <v>177</v>
      </c>
      <c r="H25" s="5" t="s">
        <v>178</v>
      </c>
      <c r="I25" s="7" t="s">
        <v>179</v>
      </c>
      <c r="J25" s="5" t="s">
        <v>21</v>
      </c>
      <c r="K25" s="6"/>
    </row>
    <row r="26" ht="15.75" customHeight="1">
      <c r="A26" s="8" t="s">
        <v>180</v>
      </c>
      <c r="B26" s="9" t="s">
        <v>181</v>
      </c>
      <c r="C26" s="9" t="s">
        <v>168</v>
      </c>
      <c r="D26" s="9" t="s">
        <v>182</v>
      </c>
      <c r="E26" s="8" t="s">
        <v>141</v>
      </c>
      <c r="F26" s="8" t="s">
        <v>183</v>
      </c>
      <c r="G26" s="9" t="s">
        <v>184</v>
      </c>
      <c r="H26" s="8" t="s">
        <v>185</v>
      </c>
      <c r="I26" s="10" t="s">
        <v>186</v>
      </c>
      <c r="J26" s="8" t="s">
        <v>21</v>
      </c>
      <c r="K26" s="9" t="s">
        <v>22</v>
      </c>
    </row>
    <row r="27" ht="15.75" customHeight="1">
      <c r="A27" s="5" t="s">
        <v>187</v>
      </c>
      <c r="B27" s="6" t="s">
        <v>188</v>
      </c>
      <c r="C27" s="6" t="s">
        <v>168</v>
      </c>
      <c r="D27" s="6" t="s">
        <v>189</v>
      </c>
      <c r="E27" s="5" t="s">
        <v>141</v>
      </c>
      <c r="F27" s="5" t="s">
        <v>190</v>
      </c>
      <c r="G27" s="6" t="s">
        <v>191</v>
      </c>
      <c r="H27" s="5" t="s">
        <v>192</v>
      </c>
      <c r="I27" s="7" t="s">
        <v>193</v>
      </c>
      <c r="J27" s="5" t="s">
        <v>21</v>
      </c>
      <c r="K27" s="6" t="s">
        <v>22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27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28.0"/>
    <col customWidth="1" min="3" max="3" width="18.0"/>
    <col customWidth="1" min="4" max="4" width="16.0"/>
    <col customWidth="1" min="5" max="5" width="10.0"/>
    <col customWidth="1" min="6" max="7" width="13.0"/>
    <col customWidth="1" min="8" max="8" width="10.0"/>
    <col customWidth="1" min="9" max="9" width="12.0"/>
    <col customWidth="1" min="10" max="10" width="22.0"/>
    <col customWidth="1" min="11" max="26" width="8.71"/>
  </cols>
  <sheetData>
    <row r="1" ht="30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195</v>
      </c>
      <c r="B2" s="4" t="s">
        <v>196</v>
      </c>
      <c r="C2" s="4" t="s">
        <v>197</v>
      </c>
      <c r="D2" s="4" t="s">
        <v>198</v>
      </c>
      <c r="E2" s="4" t="s">
        <v>199</v>
      </c>
      <c r="F2" s="4" t="s">
        <v>200</v>
      </c>
      <c r="G2" s="4" t="s">
        <v>201</v>
      </c>
      <c r="H2" s="4" t="s">
        <v>202</v>
      </c>
      <c r="I2" s="4" t="s">
        <v>203</v>
      </c>
      <c r="J2" s="4" t="s">
        <v>11</v>
      </c>
    </row>
    <row r="3">
      <c r="A3" s="5" t="s">
        <v>204</v>
      </c>
      <c r="B3" s="6" t="s">
        <v>205</v>
      </c>
      <c r="C3" s="6" t="s">
        <v>206</v>
      </c>
      <c r="D3" s="6" t="s">
        <v>15</v>
      </c>
      <c r="E3" s="6" t="s">
        <v>13</v>
      </c>
      <c r="F3" s="5" t="s">
        <v>207</v>
      </c>
      <c r="G3" s="5" t="s">
        <v>208</v>
      </c>
      <c r="H3" s="11" t="s">
        <v>209</v>
      </c>
      <c r="I3" s="12">
        <v>65.0</v>
      </c>
      <c r="J3" s="6" t="s">
        <v>210</v>
      </c>
    </row>
    <row r="4">
      <c r="A4" s="8" t="s">
        <v>211</v>
      </c>
      <c r="B4" s="9" t="s">
        <v>212</v>
      </c>
      <c r="C4" s="9" t="s">
        <v>213</v>
      </c>
      <c r="D4" s="9" t="s">
        <v>46</v>
      </c>
      <c r="E4" s="9" t="s">
        <v>45</v>
      </c>
      <c r="F4" s="8" t="s">
        <v>214</v>
      </c>
      <c r="G4" s="8" t="s">
        <v>215</v>
      </c>
      <c r="H4" s="11" t="s">
        <v>209</v>
      </c>
      <c r="I4" s="13">
        <v>40.0</v>
      </c>
      <c r="J4" s="9" t="s">
        <v>216</v>
      </c>
    </row>
    <row r="5">
      <c r="A5" s="5" t="s">
        <v>217</v>
      </c>
      <c r="B5" s="6" t="s">
        <v>218</v>
      </c>
      <c r="C5" s="6" t="s">
        <v>219</v>
      </c>
      <c r="D5" s="6" t="s">
        <v>65</v>
      </c>
      <c r="E5" s="6" t="s">
        <v>64</v>
      </c>
      <c r="F5" s="5" t="s">
        <v>220</v>
      </c>
      <c r="G5" s="5" t="s">
        <v>221</v>
      </c>
      <c r="H5" s="14" t="s">
        <v>222</v>
      </c>
      <c r="I5" s="15">
        <v>100.0</v>
      </c>
      <c r="J5" s="6" t="s">
        <v>223</v>
      </c>
    </row>
    <row r="6">
      <c r="A6" s="8" t="s">
        <v>224</v>
      </c>
      <c r="B6" s="9" t="s">
        <v>225</v>
      </c>
      <c r="C6" s="9" t="s">
        <v>226</v>
      </c>
      <c r="D6" s="9" t="s">
        <v>15</v>
      </c>
      <c r="E6" s="9" t="s">
        <v>24</v>
      </c>
      <c r="F6" s="8" t="s">
        <v>227</v>
      </c>
      <c r="G6" s="8" t="s">
        <v>228</v>
      </c>
      <c r="H6" s="11" t="s">
        <v>209</v>
      </c>
      <c r="I6" s="13">
        <v>25.0</v>
      </c>
      <c r="J6" s="9" t="s">
        <v>229</v>
      </c>
    </row>
    <row r="7">
      <c r="A7" s="5" t="s">
        <v>230</v>
      </c>
      <c r="B7" s="6" t="s">
        <v>231</v>
      </c>
      <c r="C7" s="6" t="s">
        <v>232</v>
      </c>
      <c r="D7" s="6" t="s">
        <v>46</v>
      </c>
      <c r="E7" s="6" t="s">
        <v>52</v>
      </c>
      <c r="F7" s="5" t="s">
        <v>233</v>
      </c>
      <c r="G7" s="5" t="s">
        <v>234</v>
      </c>
      <c r="H7" s="14" t="s">
        <v>222</v>
      </c>
      <c r="I7" s="15">
        <v>100.0</v>
      </c>
      <c r="J7" s="6" t="s">
        <v>235</v>
      </c>
    </row>
    <row r="8">
      <c r="A8" s="8" t="s">
        <v>236</v>
      </c>
      <c r="B8" s="9" t="s">
        <v>237</v>
      </c>
      <c r="C8" s="9" t="s">
        <v>238</v>
      </c>
      <c r="D8" s="9" t="s">
        <v>46</v>
      </c>
      <c r="E8" s="9" t="s">
        <v>45</v>
      </c>
      <c r="F8" s="8" t="s">
        <v>239</v>
      </c>
      <c r="G8" s="8" t="s">
        <v>240</v>
      </c>
      <c r="H8" s="11" t="s">
        <v>209</v>
      </c>
      <c r="I8" s="13">
        <v>15.0</v>
      </c>
      <c r="J8" s="9" t="s">
        <v>241</v>
      </c>
    </row>
    <row r="9">
      <c r="A9" s="5" t="s">
        <v>242</v>
      </c>
      <c r="B9" s="6" t="s">
        <v>243</v>
      </c>
      <c r="C9" s="6" t="s">
        <v>244</v>
      </c>
      <c r="D9" s="6" t="s">
        <v>245</v>
      </c>
      <c r="E9" s="6" t="s">
        <v>31</v>
      </c>
      <c r="F9" s="5" t="s">
        <v>246</v>
      </c>
      <c r="G9" s="5" t="s">
        <v>247</v>
      </c>
      <c r="H9" s="16" t="s">
        <v>248</v>
      </c>
      <c r="I9" s="17">
        <v>50.0</v>
      </c>
      <c r="J9" s="6" t="s">
        <v>249</v>
      </c>
    </row>
    <row r="10">
      <c r="A10" s="8" t="s">
        <v>250</v>
      </c>
      <c r="B10" s="9" t="s">
        <v>251</v>
      </c>
      <c r="C10" s="9" t="s">
        <v>252</v>
      </c>
      <c r="D10" s="9" t="s">
        <v>46</v>
      </c>
      <c r="E10" s="9" t="s">
        <v>58</v>
      </c>
      <c r="F10" s="8" t="s">
        <v>253</v>
      </c>
      <c r="G10" s="8" t="s">
        <v>254</v>
      </c>
      <c r="H10" s="11" t="s">
        <v>209</v>
      </c>
      <c r="I10" s="13">
        <v>8.0</v>
      </c>
      <c r="J10" s="9" t="s">
        <v>255</v>
      </c>
    </row>
    <row r="11">
      <c r="A11" s="5" t="s">
        <v>256</v>
      </c>
      <c r="B11" s="6" t="s">
        <v>257</v>
      </c>
      <c r="C11" s="6" t="s">
        <v>258</v>
      </c>
      <c r="D11" s="6" t="s">
        <v>46</v>
      </c>
      <c r="E11" s="6" t="s">
        <v>52</v>
      </c>
      <c r="F11" s="5" t="s">
        <v>259</v>
      </c>
      <c r="G11" s="5" t="s">
        <v>208</v>
      </c>
      <c r="H11" s="11" t="s">
        <v>209</v>
      </c>
      <c r="I11" s="12">
        <v>55.0</v>
      </c>
      <c r="J11" s="6" t="s">
        <v>260</v>
      </c>
    </row>
    <row r="12">
      <c r="A12" s="8" t="s">
        <v>261</v>
      </c>
      <c r="B12" s="9" t="s">
        <v>262</v>
      </c>
      <c r="C12" s="9" t="s">
        <v>263</v>
      </c>
      <c r="D12" s="9" t="s">
        <v>15</v>
      </c>
      <c r="E12" s="9" t="s">
        <v>38</v>
      </c>
      <c r="F12" s="8" t="s">
        <v>264</v>
      </c>
      <c r="G12" s="8" t="s">
        <v>265</v>
      </c>
      <c r="H12" s="18" t="s">
        <v>266</v>
      </c>
      <c r="I12" s="13">
        <v>0.0</v>
      </c>
      <c r="J12" s="9" t="s">
        <v>267</v>
      </c>
    </row>
    <row r="13">
      <c r="A13" s="5" t="s">
        <v>268</v>
      </c>
      <c r="B13" s="6" t="s">
        <v>269</v>
      </c>
      <c r="C13" s="6" t="s">
        <v>270</v>
      </c>
      <c r="D13" s="6" t="s">
        <v>271</v>
      </c>
      <c r="E13" s="6" t="s">
        <v>64</v>
      </c>
      <c r="F13" s="5" t="s">
        <v>272</v>
      </c>
      <c r="G13" s="5" t="s">
        <v>221</v>
      </c>
      <c r="H13" s="14" t="s">
        <v>222</v>
      </c>
      <c r="I13" s="15">
        <v>100.0</v>
      </c>
      <c r="J13" s="6" t="s">
        <v>273</v>
      </c>
    </row>
    <row r="14">
      <c r="A14" s="8" t="s">
        <v>274</v>
      </c>
      <c r="B14" s="9" t="s">
        <v>275</v>
      </c>
      <c r="C14" s="9" t="s">
        <v>276</v>
      </c>
      <c r="D14" s="9" t="s">
        <v>15</v>
      </c>
      <c r="E14" s="9" t="s">
        <v>24</v>
      </c>
      <c r="F14" s="8" t="s">
        <v>277</v>
      </c>
      <c r="G14" s="8" t="s">
        <v>240</v>
      </c>
      <c r="H14" s="11" t="s">
        <v>209</v>
      </c>
      <c r="I14" s="13">
        <v>20.0</v>
      </c>
      <c r="J14" s="9" t="s">
        <v>278</v>
      </c>
    </row>
    <row r="15">
      <c r="A15" s="5" t="s">
        <v>279</v>
      </c>
      <c r="B15" s="6" t="s">
        <v>280</v>
      </c>
      <c r="C15" s="6" t="s">
        <v>281</v>
      </c>
      <c r="D15" s="6" t="s">
        <v>46</v>
      </c>
      <c r="E15" s="6" t="s">
        <v>45</v>
      </c>
      <c r="F15" s="5" t="s">
        <v>282</v>
      </c>
      <c r="G15" s="5" t="s">
        <v>283</v>
      </c>
      <c r="H15" s="11" t="s">
        <v>209</v>
      </c>
      <c r="I15" s="12">
        <v>35.0</v>
      </c>
      <c r="J15" s="6" t="s">
        <v>284</v>
      </c>
    </row>
    <row r="16">
      <c r="A16" s="8" t="s">
        <v>285</v>
      </c>
      <c r="B16" s="9" t="s">
        <v>286</v>
      </c>
      <c r="C16" s="9" t="s">
        <v>287</v>
      </c>
      <c r="D16" s="9" t="s">
        <v>15</v>
      </c>
      <c r="E16" s="9" t="s">
        <v>13</v>
      </c>
      <c r="F16" s="8" t="s">
        <v>288</v>
      </c>
      <c r="G16" s="8" t="s">
        <v>289</v>
      </c>
      <c r="H16" s="11" t="s">
        <v>209</v>
      </c>
      <c r="I16" s="13">
        <v>10.0</v>
      </c>
      <c r="J16" s="9" t="s">
        <v>290</v>
      </c>
    </row>
    <row r="17">
      <c r="A17" s="5" t="s">
        <v>291</v>
      </c>
      <c r="B17" s="6" t="s">
        <v>292</v>
      </c>
      <c r="C17" s="6" t="s">
        <v>293</v>
      </c>
      <c r="D17" s="6" t="s">
        <v>294</v>
      </c>
      <c r="E17" s="6" t="s">
        <v>72</v>
      </c>
      <c r="F17" s="5" t="s">
        <v>264</v>
      </c>
      <c r="G17" s="5" t="s">
        <v>295</v>
      </c>
      <c r="H17" s="18" t="s">
        <v>266</v>
      </c>
      <c r="I17" s="12">
        <v>0.0</v>
      </c>
      <c r="J17" s="6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7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4.0"/>
    <col customWidth="1" min="4" max="4" width="8.0"/>
    <col customWidth="1" min="5" max="5" width="14.0"/>
    <col customWidth="1" min="6" max="7" width="16.0"/>
    <col customWidth="1" min="8" max="8" width="13.0"/>
    <col customWidth="1" min="9" max="9" width="22.0"/>
    <col customWidth="1" min="10" max="26" width="8.71"/>
  </cols>
  <sheetData>
    <row r="1" ht="30.0" customHeight="1">
      <c r="A1" s="1" t="s">
        <v>297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298</v>
      </c>
      <c r="B2" s="4" t="s">
        <v>299</v>
      </c>
      <c r="C2" s="4" t="s">
        <v>300</v>
      </c>
      <c r="D2" s="4" t="s">
        <v>301</v>
      </c>
      <c r="E2" s="4" t="s">
        <v>302</v>
      </c>
      <c r="F2" s="4" t="s">
        <v>303</v>
      </c>
      <c r="G2" s="4" t="s">
        <v>304</v>
      </c>
      <c r="H2" s="4" t="s">
        <v>305</v>
      </c>
      <c r="I2" s="4" t="s">
        <v>11</v>
      </c>
    </row>
    <row r="3">
      <c r="A3" s="5" t="s">
        <v>306</v>
      </c>
      <c r="B3" s="6" t="s">
        <v>307</v>
      </c>
      <c r="C3" s="6" t="s">
        <v>308</v>
      </c>
      <c r="D3" s="5">
        <v>120.0</v>
      </c>
      <c r="E3" s="19">
        <v>3200000.0</v>
      </c>
      <c r="F3" s="19">
        <f t="shared" ref="F3:F18" si="1">D3*E3</f>
        <v>384000000</v>
      </c>
      <c r="G3" s="6" t="s">
        <v>309</v>
      </c>
      <c r="H3" s="5" t="s">
        <v>310</v>
      </c>
      <c r="I3" s="6"/>
    </row>
    <row r="4">
      <c r="A4" s="8" t="s">
        <v>311</v>
      </c>
      <c r="B4" s="9" t="s">
        <v>307</v>
      </c>
      <c r="C4" s="9" t="s">
        <v>312</v>
      </c>
      <c r="D4" s="8">
        <v>80.0</v>
      </c>
      <c r="E4" s="20">
        <v>1800000.0</v>
      </c>
      <c r="F4" s="20">
        <f t="shared" si="1"/>
        <v>144000000</v>
      </c>
      <c r="G4" s="9" t="s">
        <v>313</v>
      </c>
      <c r="H4" s="8" t="s">
        <v>314</v>
      </c>
      <c r="I4" s="9"/>
    </row>
    <row r="5">
      <c r="A5" s="5" t="s">
        <v>315</v>
      </c>
      <c r="B5" s="6" t="s">
        <v>316</v>
      </c>
      <c r="C5" s="6" t="s">
        <v>317</v>
      </c>
      <c r="D5" s="5">
        <v>200.0</v>
      </c>
      <c r="E5" s="19">
        <v>650000.0</v>
      </c>
      <c r="F5" s="19">
        <f t="shared" si="1"/>
        <v>130000000</v>
      </c>
      <c r="G5" s="6" t="s">
        <v>309</v>
      </c>
      <c r="H5" s="5" t="s">
        <v>318</v>
      </c>
      <c r="I5" s="6"/>
    </row>
    <row r="6">
      <c r="A6" s="8" t="s">
        <v>319</v>
      </c>
      <c r="B6" s="9" t="s">
        <v>320</v>
      </c>
      <c r="C6" s="9" t="s">
        <v>321</v>
      </c>
      <c r="D6" s="8">
        <v>4.0</v>
      </c>
      <c r="E6" s="20">
        <v>1.2E8</v>
      </c>
      <c r="F6" s="20">
        <f t="shared" si="1"/>
        <v>480000000</v>
      </c>
      <c r="G6" s="9" t="s">
        <v>322</v>
      </c>
      <c r="H6" s="8" t="s">
        <v>323</v>
      </c>
      <c r="I6" s="9" t="s">
        <v>324</v>
      </c>
    </row>
    <row r="7">
      <c r="A7" s="5" t="s">
        <v>325</v>
      </c>
      <c r="B7" s="6" t="s">
        <v>320</v>
      </c>
      <c r="C7" s="6" t="s">
        <v>326</v>
      </c>
      <c r="D7" s="5">
        <v>10.0</v>
      </c>
      <c r="E7" s="19">
        <v>1.8E7</v>
      </c>
      <c r="F7" s="19">
        <f t="shared" si="1"/>
        <v>180000000</v>
      </c>
      <c r="G7" s="6" t="s">
        <v>327</v>
      </c>
      <c r="H7" s="5" t="s">
        <v>328</v>
      </c>
      <c r="I7" s="6"/>
    </row>
    <row r="8">
      <c r="A8" s="8" t="s">
        <v>329</v>
      </c>
      <c r="B8" s="9" t="s">
        <v>330</v>
      </c>
      <c r="C8" s="9" t="s">
        <v>331</v>
      </c>
      <c r="D8" s="8">
        <v>15.0</v>
      </c>
      <c r="E8" s="20">
        <v>3500000.0</v>
      </c>
      <c r="F8" s="20">
        <f t="shared" si="1"/>
        <v>52500000</v>
      </c>
      <c r="G8" s="9" t="s">
        <v>332</v>
      </c>
      <c r="H8" s="8" t="s">
        <v>333</v>
      </c>
      <c r="I8" s="9"/>
    </row>
    <row r="9">
      <c r="A9" s="5" t="s">
        <v>334</v>
      </c>
      <c r="B9" s="6" t="s">
        <v>335</v>
      </c>
      <c r="C9" s="6" t="s">
        <v>336</v>
      </c>
      <c r="D9" s="5">
        <v>80.0</v>
      </c>
      <c r="E9" s="19">
        <v>650000.0</v>
      </c>
      <c r="F9" s="19">
        <f t="shared" si="1"/>
        <v>52000000</v>
      </c>
      <c r="G9" s="6" t="s">
        <v>327</v>
      </c>
      <c r="H9" s="5" t="s">
        <v>337</v>
      </c>
      <c r="I9" s="6" t="s">
        <v>338</v>
      </c>
    </row>
    <row r="10">
      <c r="A10" s="8" t="s">
        <v>339</v>
      </c>
      <c r="B10" s="9" t="s">
        <v>340</v>
      </c>
      <c r="C10" s="9" t="s">
        <v>341</v>
      </c>
      <c r="D10" s="8">
        <v>1.0</v>
      </c>
      <c r="E10" s="20">
        <v>8000000.0</v>
      </c>
      <c r="F10" s="20">
        <f t="shared" si="1"/>
        <v>8000000</v>
      </c>
      <c r="G10" s="9" t="s">
        <v>15</v>
      </c>
      <c r="H10" s="8" t="s">
        <v>337</v>
      </c>
      <c r="I10" s="9" t="s">
        <v>342</v>
      </c>
    </row>
    <row r="11">
      <c r="A11" s="5" t="s">
        <v>343</v>
      </c>
      <c r="B11" s="6" t="s">
        <v>344</v>
      </c>
      <c r="C11" s="6" t="s">
        <v>345</v>
      </c>
      <c r="D11" s="5">
        <v>1.0</v>
      </c>
      <c r="E11" s="19">
        <v>4800000.0</v>
      </c>
      <c r="F11" s="19">
        <f t="shared" si="1"/>
        <v>4800000</v>
      </c>
      <c r="G11" s="6" t="s">
        <v>346</v>
      </c>
      <c r="H11" s="5" t="s">
        <v>347</v>
      </c>
      <c r="I11" s="6" t="s">
        <v>348</v>
      </c>
    </row>
    <row r="12">
      <c r="A12" s="8" t="s">
        <v>349</v>
      </c>
      <c r="B12" s="9" t="s">
        <v>350</v>
      </c>
      <c r="C12" s="9" t="s">
        <v>351</v>
      </c>
      <c r="D12" s="8">
        <v>350.0</v>
      </c>
      <c r="E12" s="20">
        <v>120000.0</v>
      </c>
      <c r="F12" s="20">
        <f t="shared" si="1"/>
        <v>42000000</v>
      </c>
      <c r="G12" s="9" t="s">
        <v>309</v>
      </c>
      <c r="H12" s="8" t="s">
        <v>337</v>
      </c>
      <c r="I12" s="9" t="s">
        <v>352</v>
      </c>
    </row>
    <row r="13">
      <c r="A13" s="5" t="s">
        <v>353</v>
      </c>
      <c r="B13" s="6" t="s">
        <v>350</v>
      </c>
      <c r="C13" s="6" t="s">
        <v>354</v>
      </c>
      <c r="D13" s="5">
        <v>350.0</v>
      </c>
      <c r="E13" s="19">
        <v>150000.0</v>
      </c>
      <c r="F13" s="19">
        <f t="shared" si="1"/>
        <v>52500000</v>
      </c>
      <c r="G13" s="6" t="s">
        <v>309</v>
      </c>
      <c r="H13" s="5" t="s">
        <v>337</v>
      </c>
      <c r="I13" s="6" t="s">
        <v>352</v>
      </c>
    </row>
    <row r="14">
      <c r="A14" s="8" t="s">
        <v>355</v>
      </c>
      <c r="B14" s="9" t="s">
        <v>356</v>
      </c>
      <c r="C14" s="9" t="s">
        <v>357</v>
      </c>
      <c r="D14" s="8">
        <v>1.0</v>
      </c>
      <c r="E14" s="20">
        <v>6000000.0</v>
      </c>
      <c r="F14" s="20">
        <f t="shared" si="1"/>
        <v>6000000</v>
      </c>
      <c r="G14" s="9" t="s">
        <v>124</v>
      </c>
      <c r="H14" s="8" t="s">
        <v>358</v>
      </c>
      <c r="I14" s="9" t="s">
        <v>348</v>
      </c>
    </row>
    <row r="15">
      <c r="A15" s="5" t="s">
        <v>359</v>
      </c>
      <c r="B15" s="6" t="s">
        <v>360</v>
      </c>
      <c r="C15" s="6" t="s">
        <v>361</v>
      </c>
      <c r="D15" s="5">
        <v>1.0</v>
      </c>
      <c r="E15" s="19">
        <v>2.4E7</v>
      </c>
      <c r="F15" s="19">
        <f t="shared" si="1"/>
        <v>24000000</v>
      </c>
      <c r="G15" s="6" t="s">
        <v>124</v>
      </c>
      <c r="H15" s="5" t="s">
        <v>337</v>
      </c>
      <c r="I15" s="6" t="s">
        <v>362</v>
      </c>
    </row>
    <row r="16">
      <c r="A16" s="8" t="s">
        <v>363</v>
      </c>
      <c r="B16" s="9" t="s">
        <v>364</v>
      </c>
      <c r="C16" s="9" t="s">
        <v>365</v>
      </c>
      <c r="D16" s="8">
        <v>350.0</v>
      </c>
      <c r="E16" s="20">
        <v>200000.0</v>
      </c>
      <c r="F16" s="20">
        <f t="shared" si="1"/>
        <v>70000000</v>
      </c>
      <c r="G16" s="9" t="s">
        <v>366</v>
      </c>
      <c r="H16" s="8" t="s">
        <v>337</v>
      </c>
      <c r="I16" s="9" t="s">
        <v>352</v>
      </c>
    </row>
    <row r="17">
      <c r="A17" s="5" t="s">
        <v>367</v>
      </c>
      <c r="B17" s="6" t="s">
        <v>368</v>
      </c>
      <c r="C17" s="6" t="s">
        <v>369</v>
      </c>
      <c r="D17" s="5">
        <v>25.0</v>
      </c>
      <c r="E17" s="19">
        <v>480000.0</v>
      </c>
      <c r="F17" s="19">
        <f t="shared" si="1"/>
        <v>12000000</v>
      </c>
      <c r="G17" s="6" t="s">
        <v>327</v>
      </c>
      <c r="H17" s="5" t="s">
        <v>337</v>
      </c>
      <c r="I17" s="6" t="s">
        <v>352</v>
      </c>
    </row>
    <row r="18">
      <c r="A18" s="8" t="s">
        <v>370</v>
      </c>
      <c r="B18" s="9" t="s">
        <v>371</v>
      </c>
      <c r="C18" s="9" t="s">
        <v>372</v>
      </c>
      <c r="D18" s="8">
        <v>15.0</v>
      </c>
      <c r="E18" s="20">
        <v>1200000.0</v>
      </c>
      <c r="F18" s="20">
        <f t="shared" si="1"/>
        <v>18000000</v>
      </c>
      <c r="G18" s="9" t="s">
        <v>373</v>
      </c>
      <c r="H18" s="8" t="s">
        <v>374</v>
      </c>
      <c r="I18" s="9" t="s">
        <v>352</v>
      </c>
    </row>
    <row r="19">
      <c r="A19" s="21" t="s">
        <v>375</v>
      </c>
      <c r="B19" s="22"/>
      <c r="C19" s="22"/>
      <c r="D19" s="22"/>
      <c r="E19" s="23"/>
      <c r="F19" s="24">
        <f>SUM(F3:F18)</f>
        <v>1659800000</v>
      </c>
      <c r="G19" s="25"/>
      <c r="H19" s="25"/>
      <c r="I1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19:E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2.0"/>
    <col customWidth="1" min="5" max="5" width="14.0"/>
    <col customWidth="1" min="6" max="6" width="12.0"/>
    <col customWidth="1" min="7" max="7" width="14.0"/>
    <col customWidth="1" min="8" max="9" width="12.0"/>
    <col customWidth="1" min="10" max="10" width="18.0"/>
    <col customWidth="1" min="11" max="26" width="8.71"/>
  </cols>
  <sheetData>
    <row r="1" ht="30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3"/>
    </row>
    <row r="2" ht="34.5" customHeight="1">
      <c r="A2" s="4" t="s">
        <v>1</v>
      </c>
      <c r="B2" s="4" t="s">
        <v>2</v>
      </c>
      <c r="C2" s="4" t="s">
        <v>4</v>
      </c>
      <c r="D2" s="4" t="s">
        <v>377</v>
      </c>
      <c r="E2" s="4" t="s">
        <v>378</v>
      </c>
      <c r="F2" s="4" t="s">
        <v>379</v>
      </c>
      <c r="G2" s="4" t="s">
        <v>380</v>
      </c>
      <c r="H2" s="4" t="s">
        <v>381</v>
      </c>
      <c r="I2" s="4" t="s">
        <v>382</v>
      </c>
      <c r="J2" s="4" t="s">
        <v>11</v>
      </c>
    </row>
    <row r="3">
      <c r="A3" s="5" t="s">
        <v>12</v>
      </c>
      <c r="B3" s="6" t="s">
        <v>13</v>
      </c>
      <c r="C3" s="6" t="s">
        <v>15</v>
      </c>
      <c r="D3" s="26" t="s">
        <v>222</v>
      </c>
      <c r="E3" s="26" t="s">
        <v>222</v>
      </c>
      <c r="F3" s="26" t="s">
        <v>222</v>
      </c>
      <c r="G3" s="5">
        <v>42.0</v>
      </c>
      <c r="H3" s="5">
        <v>3.0</v>
      </c>
      <c r="I3" s="6" t="s">
        <v>383</v>
      </c>
      <c r="J3" s="6"/>
    </row>
    <row r="4">
      <c r="A4" s="8" t="s">
        <v>23</v>
      </c>
      <c r="B4" s="9" t="s">
        <v>24</v>
      </c>
      <c r="C4" s="9" t="s">
        <v>15</v>
      </c>
      <c r="D4" s="27" t="s">
        <v>222</v>
      </c>
      <c r="E4" s="27" t="s">
        <v>222</v>
      </c>
      <c r="F4" s="27" t="s">
        <v>222</v>
      </c>
      <c r="G4" s="8">
        <v>38.0</v>
      </c>
      <c r="H4" s="8">
        <v>2.0</v>
      </c>
      <c r="I4" s="9"/>
      <c r="J4" s="9"/>
    </row>
    <row r="5">
      <c r="A5" s="5" t="s">
        <v>30</v>
      </c>
      <c r="B5" s="6" t="s">
        <v>31</v>
      </c>
      <c r="C5" s="6" t="s">
        <v>15</v>
      </c>
      <c r="D5" s="26" t="s">
        <v>222</v>
      </c>
      <c r="E5" s="26" t="s">
        <v>222</v>
      </c>
      <c r="F5" s="26" t="s">
        <v>222</v>
      </c>
      <c r="G5" s="5">
        <v>30.0</v>
      </c>
      <c r="H5" s="5">
        <v>1.0</v>
      </c>
      <c r="I5" s="6"/>
      <c r="J5" s="6"/>
    </row>
    <row r="6">
      <c r="A6" s="8" t="s">
        <v>37</v>
      </c>
      <c r="B6" s="9" t="s">
        <v>38</v>
      </c>
      <c r="C6" s="9" t="s">
        <v>15</v>
      </c>
      <c r="D6" s="27" t="s">
        <v>222</v>
      </c>
      <c r="E6" s="28" t="s">
        <v>384</v>
      </c>
      <c r="F6" s="27" t="s">
        <v>222</v>
      </c>
      <c r="G6" s="8">
        <v>18.0</v>
      </c>
      <c r="H6" s="8">
        <v>1.0</v>
      </c>
      <c r="I6" s="9"/>
      <c r="J6" s="9" t="s">
        <v>385</v>
      </c>
    </row>
    <row r="7">
      <c r="A7" s="5" t="s">
        <v>44</v>
      </c>
      <c r="B7" s="6" t="s">
        <v>45</v>
      </c>
      <c r="C7" s="6" t="s">
        <v>46</v>
      </c>
      <c r="D7" s="26" t="s">
        <v>222</v>
      </c>
      <c r="E7" s="26" t="s">
        <v>222</v>
      </c>
      <c r="F7" s="26" t="s">
        <v>222</v>
      </c>
      <c r="G7" s="5">
        <v>45.0</v>
      </c>
      <c r="H7" s="5">
        <v>3.0</v>
      </c>
      <c r="I7" s="6" t="s">
        <v>386</v>
      </c>
      <c r="J7" s="6"/>
    </row>
    <row r="8">
      <c r="A8" s="8" t="s">
        <v>51</v>
      </c>
      <c r="B8" s="9" t="s">
        <v>52</v>
      </c>
      <c r="C8" s="9" t="s">
        <v>46</v>
      </c>
      <c r="D8" s="27" t="s">
        <v>222</v>
      </c>
      <c r="E8" s="27" t="s">
        <v>222</v>
      </c>
      <c r="F8" s="27" t="s">
        <v>222</v>
      </c>
      <c r="G8" s="8">
        <v>36.0</v>
      </c>
      <c r="H8" s="8">
        <v>2.0</v>
      </c>
      <c r="I8" s="9"/>
      <c r="J8" s="9"/>
    </row>
    <row r="9">
      <c r="A9" s="5" t="s">
        <v>57</v>
      </c>
      <c r="B9" s="6" t="s">
        <v>58</v>
      </c>
      <c r="C9" s="6" t="s">
        <v>46</v>
      </c>
      <c r="D9" s="26" t="s">
        <v>222</v>
      </c>
      <c r="E9" s="26" t="s">
        <v>222</v>
      </c>
      <c r="F9" s="26" t="s">
        <v>222</v>
      </c>
      <c r="G9" s="5">
        <v>28.0</v>
      </c>
      <c r="H9" s="5">
        <v>1.0</v>
      </c>
      <c r="I9" s="6"/>
      <c r="J9" s="6"/>
    </row>
    <row r="10">
      <c r="A10" s="8" t="s">
        <v>63</v>
      </c>
      <c r="B10" s="9" t="s">
        <v>64</v>
      </c>
      <c r="C10" s="9" t="s">
        <v>65</v>
      </c>
      <c r="D10" s="27" t="s">
        <v>222</v>
      </c>
      <c r="E10" s="27" t="s">
        <v>222</v>
      </c>
      <c r="F10" s="27" t="s">
        <v>222</v>
      </c>
      <c r="G10" s="8">
        <v>40.0</v>
      </c>
      <c r="H10" s="8">
        <v>2.0</v>
      </c>
      <c r="I10" s="9"/>
      <c r="J10" s="9"/>
    </row>
    <row r="11">
      <c r="A11" s="5" t="s">
        <v>71</v>
      </c>
      <c r="B11" s="6" t="s">
        <v>72</v>
      </c>
      <c r="C11" s="6" t="s">
        <v>65</v>
      </c>
      <c r="D11" s="26" t="s">
        <v>222</v>
      </c>
      <c r="E11" s="26" t="s">
        <v>222</v>
      </c>
      <c r="F11" s="26" t="s">
        <v>222</v>
      </c>
      <c r="G11" s="5">
        <v>25.0</v>
      </c>
      <c r="H11" s="5">
        <v>1.0</v>
      </c>
      <c r="I11" s="6"/>
      <c r="J11" s="6"/>
    </row>
    <row r="12">
      <c r="A12" s="8" t="s">
        <v>77</v>
      </c>
      <c r="B12" s="9" t="s">
        <v>78</v>
      </c>
      <c r="C12" s="9" t="s">
        <v>65</v>
      </c>
      <c r="D12" s="27" t="s">
        <v>222</v>
      </c>
      <c r="E12" s="28" t="s">
        <v>384</v>
      </c>
      <c r="F12" s="28" t="s">
        <v>384</v>
      </c>
      <c r="G12" s="8">
        <v>10.0</v>
      </c>
      <c r="H12" s="8">
        <v>0.0</v>
      </c>
      <c r="I12" s="9"/>
      <c r="J12" s="9" t="s">
        <v>387</v>
      </c>
    </row>
    <row r="13">
      <c r="A13" s="5" t="s">
        <v>84</v>
      </c>
      <c r="B13" s="6" t="s">
        <v>85</v>
      </c>
      <c r="C13" s="6" t="s">
        <v>87</v>
      </c>
      <c r="D13" s="26" t="s">
        <v>222</v>
      </c>
      <c r="E13" s="26" t="s">
        <v>222</v>
      </c>
      <c r="F13" s="26" t="s">
        <v>222</v>
      </c>
      <c r="G13" s="5">
        <v>35.0</v>
      </c>
      <c r="H13" s="5">
        <v>2.0</v>
      </c>
      <c r="I13" s="6" t="s">
        <v>388</v>
      </c>
      <c r="J13" s="6"/>
    </row>
    <row r="14">
      <c r="A14" s="8" t="s">
        <v>93</v>
      </c>
      <c r="B14" s="9" t="s">
        <v>94</v>
      </c>
      <c r="C14" s="9" t="s">
        <v>87</v>
      </c>
      <c r="D14" s="27" t="s">
        <v>222</v>
      </c>
      <c r="E14" s="27" t="s">
        <v>222</v>
      </c>
      <c r="F14" s="27" t="s">
        <v>222</v>
      </c>
      <c r="G14" s="8">
        <v>30.0</v>
      </c>
      <c r="H14" s="8">
        <v>1.0</v>
      </c>
      <c r="I14" s="9"/>
      <c r="J14" s="9"/>
    </row>
    <row r="15">
      <c r="A15" s="5" t="s">
        <v>100</v>
      </c>
      <c r="B15" s="6" t="s">
        <v>101</v>
      </c>
      <c r="C15" s="6" t="s">
        <v>87</v>
      </c>
      <c r="D15" s="26" t="s">
        <v>222</v>
      </c>
      <c r="E15" s="26" t="s">
        <v>222</v>
      </c>
      <c r="F15" s="26" t="s">
        <v>222</v>
      </c>
      <c r="G15" s="5">
        <v>28.0</v>
      </c>
      <c r="H15" s="5">
        <v>2.0</v>
      </c>
      <c r="I15" s="6"/>
      <c r="J15" s="6" t="s">
        <v>389</v>
      </c>
    </row>
    <row r="16">
      <c r="A16" s="8" t="s">
        <v>109</v>
      </c>
      <c r="B16" s="9" t="s">
        <v>110</v>
      </c>
      <c r="C16" s="9" t="s">
        <v>111</v>
      </c>
      <c r="D16" s="27" t="s">
        <v>222</v>
      </c>
      <c r="E16" s="27" t="s">
        <v>222</v>
      </c>
      <c r="F16" s="27" t="s">
        <v>222</v>
      </c>
      <c r="G16" s="8">
        <v>32.0</v>
      </c>
      <c r="H16" s="8">
        <v>2.0</v>
      </c>
      <c r="I16" s="9"/>
      <c r="J16" s="9"/>
    </row>
    <row r="17">
      <c r="A17" s="5" t="s">
        <v>116</v>
      </c>
      <c r="B17" s="6" t="s">
        <v>117</v>
      </c>
      <c r="C17" s="6" t="s">
        <v>111</v>
      </c>
      <c r="D17" s="26" t="s">
        <v>222</v>
      </c>
      <c r="E17" s="26" t="s">
        <v>222</v>
      </c>
      <c r="F17" s="26" t="s">
        <v>222</v>
      </c>
      <c r="G17" s="5">
        <v>22.0</v>
      </c>
      <c r="H17" s="5">
        <v>1.0</v>
      </c>
      <c r="I17" s="6"/>
      <c r="J17" s="6"/>
    </row>
    <row r="18">
      <c r="A18" s="8" t="s">
        <v>122</v>
      </c>
      <c r="B18" s="9" t="s">
        <v>123</v>
      </c>
      <c r="C18" s="9" t="s">
        <v>124</v>
      </c>
      <c r="D18" s="27" t="s">
        <v>222</v>
      </c>
      <c r="E18" s="27" t="s">
        <v>222</v>
      </c>
      <c r="F18" s="27" t="s">
        <v>222</v>
      </c>
      <c r="G18" s="8">
        <v>40.0</v>
      </c>
      <c r="H18" s="8">
        <v>3.0</v>
      </c>
      <c r="I18" s="9" t="s">
        <v>390</v>
      </c>
      <c r="J18" s="9"/>
    </row>
    <row r="19">
      <c r="A19" s="5" t="s">
        <v>130</v>
      </c>
      <c r="B19" s="6" t="s">
        <v>131</v>
      </c>
      <c r="C19" s="6" t="s">
        <v>124</v>
      </c>
      <c r="D19" s="26" t="s">
        <v>222</v>
      </c>
      <c r="E19" s="26" t="s">
        <v>222</v>
      </c>
      <c r="F19" s="26" t="s">
        <v>222</v>
      </c>
      <c r="G19" s="5">
        <v>30.0</v>
      </c>
      <c r="H19" s="5">
        <v>1.0</v>
      </c>
      <c r="I19" s="6"/>
      <c r="J19" s="6"/>
    </row>
    <row r="20">
      <c r="A20" s="8" t="s">
        <v>137</v>
      </c>
      <c r="B20" s="9" t="s">
        <v>138</v>
      </c>
      <c r="C20" s="9" t="s">
        <v>140</v>
      </c>
      <c r="D20" s="27" t="s">
        <v>222</v>
      </c>
      <c r="E20" s="27" t="s">
        <v>222</v>
      </c>
      <c r="F20" s="27" t="s">
        <v>222</v>
      </c>
      <c r="G20" s="8">
        <v>20.0</v>
      </c>
      <c r="H20" s="8">
        <v>1.0</v>
      </c>
      <c r="I20" s="9"/>
      <c r="J20" s="9"/>
    </row>
    <row r="21" ht="15.75" customHeight="1">
      <c r="A21" s="5" t="s">
        <v>146</v>
      </c>
      <c r="B21" s="6" t="s">
        <v>147</v>
      </c>
      <c r="C21" s="6" t="s">
        <v>140</v>
      </c>
      <c r="D21" s="26" t="s">
        <v>222</v>
      </c>
      <c r="E21" s="26" t="s">
        <v>222</v>
      </c>
      <c r="F21" s="26" t="s">
        <v>222</v>
      </c>
      <c r="G21" s="5">
        <v>15.0</v>
      </c>
      <c r="H21" s="5">
        <v>0.0</v>
      </c>
      <c r="I21" s="6"/>
      <c r="J21" s="6"/>
    </row>
    <row r="22" ht="15.75" customHeight="1">
      <c r="A22" s="8" t="s">
        <v>153</v>
      </c>
      <c r="B22" s="9" t="s">
        <v>154</v>
      </c>
      <c r="C22" s="9" t="s">
        <v>155</v>
      </c>
      <c r="D22" s="27" t="s">
        <v>222</v>
      </c>
      <c r="E22" s="27" t="s">
        <v>222</v>
      </c>
      <c r="F22" s="27" t="s">
        <v>222</v>
      </c>
      <c r="G22" s="8">
        <v>18.0</v>
      </c>
      <c r="H22" s="8">
        <v>1.0</v>
      </c>
      <c r="I22" s="9" t="s">
        <v>391</v>
      </c>
      <c r="J22" s="9"/>
    </row>
    <row r="23" ht="15.75" customHeight="1">
      <c r="A23" s="5" t="s">
        <v>160</v>
      </c>
      <c r="B23" s="6" t="s">
        <v>161</v>
      </c>
      <c r="C23" s="6" t="s">
        <v>155</v>
      </c>
      <c r="D23" s="26" t="s">
        <v>222</v>
      </c>
      <c r="E23" s="26" t="s">
        <v>222</v>
      </c>
      <c r="F23" s="26" t="s">
        <v>222</v>
      </c>
      <c r="G23" s="5">
        <v>12.0</v>
      </c>
      <c r="H23" s="5">
        <v>0.0</v>
      </c>
      <c r="I23" s="6"/>
      <c r="J23" s="6"/>
    </row>
    <row r="24" ht="15.75" customHeight="1">
      <c r="A24" s="8" t="s">
        <v>166</v>
      </c>
      <c r="B24" s="9" t="s">
        <v>167</v>
      </c>
      <c r="C24" s="9" t="s">
        <v>169</v>
      </c>
      <c r="D24" s="27" t="s">
        <v>222</v>
      </c>
      <c r="E24" s="27" t="s">
        <v>222</v>
      </c>
      <c r="F24" s="27" t="s">
        <v>222</v>
      </c>
      <c r="G24" s="8">
        <v>24.0</v>
      </c>
      <c r="H24" s="8">
        <v>2.0</v>
      </c>
      <c r="I24" s="9"/>
      <c r="J24" s="9"/>
    </row>
    <row r="25" ht="15.75" customHeight="1">
      <c r="A25" s="5" t="s">
        <v>174</v>
      </c>
      <c r="B25" s="6" t="s">
        <v>175</v>
      </c>
      <c r="C25" s="6" t="s">
        <v>169</v>
      </c>
      <c r="D25" s="26" t="s">
        <v>222</v>
      </c>
      <c r="E25" s="26" t="s">
        <v>222</v>
      </c>
      <c r="F25" s="26" t="s">
        <v>222</v>
      </c>
      <c r="G25" s="5">
        <v>16.0</v>
      </c>
      <c r="H25" s="5">
        <v>1.0</v>
      </c>
      <c r="I25" s="6"/>
      <c r="J25" s="6"/>
    </row>
    <row r="26" ht="15.75" customHeight="1">
      <c r="A26" s="8" t="s">
        <v>180</v>
      </c>
      <c r="B26" s="9" t="s">
        <v>181</v>
      </c>
      <c r="C26" s="9" t="s">
        <v>182</v>
      </c>
      <c r="D26" s="27" t="s">
        <v>222</v>
      </c>
      <c r="E26" s="27" t="s">
        <v>222</v>
      </c>
      <c r="F26" s="27" t="s">
        <v>222</v>
      </c>
      <c r="G26" s="8">
        <v>18.0</v>
      </c>
      <c r="H26" s="8">
        <v>1.0</v>
      </c>
      <c r="I26" s="9"/>
      <c r="J26" s="9"/>
    </row>
    <row r="27" ht="15.75" customHeight="1">
      <c r="A27" s="5" t="s">
        <v>187</v>
      </c>
      <c r="B27" s="6" t="s">
        <v>188</v>
      </c>
      <c r="C27" s="6" t="s">
        <v>189</v>
      </c>
      <c r="D27" s="26" t="s">
        <v>222</v>
      </c>
      <c r="E27" s="26" t="s">
        <v>222</v>
      </c>
      <c r="F27" s="26" t="s">
        <v>222</v>
      </c>
      <c r="G27" s="5">
        <v>20.0</v>
      </c>
      <c r="H27" s="5">
        <v>1.0</v>
      </c>
      <c r="I27" s="6" t="s">
        <v>392</v>
      </c>
      <c r="J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7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2026-05-10T08:32:16Z</dcterms:created>
  <dc:creator>openpyxl</dc:creator>
</cp:coreProperties>
</file>